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ized_BOM" sheetId="1" state="visible" r:id="rId1"/>
    <sheet name="Cost_Spli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38BDF8"/>
      <sz val="10"/>
    </font>
    <font>
      <name val="Calibri"/>
      <b val="1"/>
      <color rgb="00FFFFFF"/>
      <sz val="10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0F172A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0D948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0" fontId="6" fillId="7" borderId="1" pivotButton="0" quotePrefix="0" xfId="0"/>
    <xf numFmtId="0" fontId="6" fillId="7" borderId="1" applyAlignment="1" pivotButton="0" quotePrefix="0" xfId="0">
      <alignment horizontal="center" vertical="center"/>
    </xf>
    <xf numFmtId="164" fontId="6" fillId="7" borderId="1" applyAlignment="1" pivotButton="0" quotePrefix="0" xfId="0">
      <alignment horizontal="right" vertical="center"/>
    </xf>
    <xf numFmtId="0" fontId="3" fillId="2" borderId="1" pivotButton="0" quotePrefix="0" xfId="0"/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6" fillId="7" borderId="1" pivotButton="0" quotePrefix="0" xfId="0"/>
    <xf numFmtId="165" fontId="6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8" customWidth="1" min="3" max="3"/>
    <col width="48" customWidth="1" min="4" max="4"/>
    <col width="16" customWidth="1" min="5" max="5"/>
    <col width="7" customWidth="1" min="6" max="6"/>
    <col width="23" customWidth="1" min="7" max="7"/>
    <col width="40" customWidth="1" min="8" max="8"/>
    <col width="16" customWidth="1" min="9" max="9"/>
    <col width="18" customWidth="1" min="10" max="10"/>
  </cols>
  <sheetData>
    <row r="1" ht="28" customHeight="1">
      <c r="A1" s="1" t="inlineStr">
        <is>
          <t>FROSTCHAIN E-SKIN CRATE — ITEMIZED STAGE 2 PROTOTYPE BILL OF MATERIALS (BOM)</t>
        </is>
      </c>
    </row>
    <row r="2" ht="22" customHeight="1">
      <c r="A2" s="2" t="inlineStr">
        <is>
          <t>Procurement Status: 19/20 Items Local/Domestic in India (1–5 Days Lead Time) | 1 Item (Tang Nano 9K FPGA) Imported / Stocked via Indian Distributors (4–10 Days)</t>
        </is>
      </c>
    </row>
    <row r="4" ht="24" customHeight="1">
      <c r="A4" s="3" t="inlineStr">
        <is>
          <t>S.No</t>
        </is>
      </c>
      <c r="B4" s="4" t="inlineStr">
        <is>
          <t>Subsystem Category</t>
        </is>
      </c>
      <c r="C4" s="4" t="inlineStr">
        <is>
          <t>Component</t>
        </is>
      </c>
      <c r="D4" s="4" t="inlineStr">
        <is>
          <t>Exact Part No. / Specification</t>
        </is>
      </c>
      <c r="E4" s="3" t="inlineStr">
        <is>
          <t>Schematic Ref</t>
        </is>
      </c>
      <c r="F4" s="3" t="inlineStr">
        <is>
          <t>Qty</t>
        </is>
      </c>
      <c r="G4" s="3" t="inlineStr">
        <is>
          <t>Sourcing Category</t>
        </is>
      </c>
      <c r="H4" s="4" t="inlineStr">
        <is>
          <t>Verified Vendor &amp; Lead Time</t>
        </is>
      </c>
      <c r="I4" s="4" t="inlineStr">
        <is>
          <t>Unit Cost (INR)</t>
        </is>
      </c>
      <c r="J4" s="4" t="inlineStr">
        <is>
          <t>Total Cost (INR)</t>
        </is>
      </c>
    </row>
    <row r="5" ht="21" customHeight="1">
      <c r="A5" s="5" t="n">
        <v>1</v>
      </c>
      <c r="B5" s="6" t="inlineStr">
        <is>
          <t>Telemetry &amp; FPGA Compute</t>
        </is>
      </c>
      <c r="C5" s="6" t="inlineStr">
        <is>
          <t>FPGA Development Board</t>
        </is>
      </c>
      <c r="D5" s="6" t="inlineStr">
        <is>
          <t>Sipeed Tang Nano 9K (Gowin GW1NR-LV9QN88PC6/I5)</t>
        </is>
      </c>
      <c r="E5" s="5" t="inlineStr">
        <is>
          <t>U3</t>
        </is>
      </c>
      <c r="F5" s="5" t="n">
        <v>1</v>
      </c>
      <c r="G5" s="5" t="inlineStr">
        <is>
          <t>Imported (India Stock)</t>
        </is>
      </c>
      <c r="H5" s="6" t="inlineStr">
        <is>
          <t>Robu.in / Evelta (4d local stock; 10d import)</t>
        </is>
      </c>
      <c r="I5" s="7" t="n">
        <v>1650</v>
      </c>
      <c r="J5" s="7">
        <f>F5*I5</f>
        <v/>
      </c>
    </row>
    <row r="6" ht="21" customHeight="1">
      <c r="A6" s="8" t="n">
        <v>2</v>
      </c>
      <c r="B6" s="9" t="inlineStr">
        <is>
          <t>Telemetry &amp; FPGA Compute</t>
        </is>
      </c>
      <c r="C6" s="10" t="inlineStr">
        <is>
          <t>Main Telemetry &amp; Crypto MCU</t>
        </is>
      </c>
      <c r="D6" s="9" t="inlineStr">
        <is>
          <t>Espressif ESP32-S3-WROOM-1-N8R2 DevKitC-1</t>
        </is>
      </c>
      <c r="E6" s="11" t="inlineStr">
        <is>
          <t>U4</t>
        </is>
      </c>
      <c r="F6" s="11" t="n">
        <v>1</v>
      </c>
      <c r="G6" s="11" t="inlineStr">
        <is>
          <t>Local</t>
        </is>
      </c>
      <c r="H6" s="9" t="inlineStr">
        <is>
          <t>Robu.in / Bhagirath Palace Delhi (2 days)</t>
        </is>
      </c>
      <c r="I6" s="12" t="n">
        <v>580</v>
      </c>
      <c r="J6" s="13">
        <f>F6*I6</f>
        <v/>
      </c>
    </row>
    <row r="7" ht="21" customHeight="1">
      <c r="A7" s="14" t="n">
        <v>3</v>
      </c>
      <c r="B7" s="15" t="inlineStr">
        <is>
          <t>Telemetry &amp; FPGA Compute</t>
        </is>
      </c>
      <c r="C7" s="16" t="inlineStr">
        <is>
          <t>LTE (5G-Ready) + GNSS Modem</t>
        </is>
      </c>
      <c r="D7" s="15" t="inlineStr">
        <is>
          <t>SIMCom SIM7600E-H 4G LTE Cat-1 / GNSS Breakout</t>
        </is>
      </c>
      <c r="E7" s="17" t="inlineStr">
        <is>
          <t>M1</t>
        </is>
      </c>
      <c r="F7" s="17" t="n">
        <v>1</v>
      </c>
      <c r="G7" s="17" t="inlineStr">
        <is>
          <t>Domestic</t>
        </is>
      </c>
      <c r="H7" s="15" t="inlineStr">
        <is>
          <t>Evelta / Robu.in (4 days)</t>
        </is>
      </c>
      <c r="I7" s="18" t="n">
        <v>2250</v>
      </c>
      <c r="J7" s="19">
        <f>F7*I7</f>
        <v/>
      </c>
    </row>
    <row r="8" ht="21" customHeight="1">
      <c r="A8" s="8" t="n">
        <v>4</v>
      </c>
      <c r="B8" s="9" t="inlineStr">
        <is>
          <t>E-Skin, PCB &amp; Passives</t>
        </is>
      </c>
      <c r="C8" s="10" t="inlineStr">
        <is>
          <t>Digital Temp &amp; RH Sensor</t>
        </is>
      </c>
      <c r="D8" s="9" t="inlineStr">
        <is>
          <t>Sensirion SHT31-DIS-B I2C Breakout (±0.2°C, ±2% RH)</t>
        </is>
      </c>
      <c r="E8" s="11" t="inlineStr">
        <is>
          <t>U_SHT31</t>
        </is>
      </c>
      <c r="F8" s="11" t="n">
        <v>1</v>
      </c>
      <c r="G8" s="11" t="inlineStr">
        <is>
          <t>Local</t>
        </is>
      </c>
      <c r="H8" s="9" t="inlineStr">
        <is>
          <t>Robu.in / Campus Component (2 days)</t>
        </is>
      </c>
      <c r="I8" s="12" t="n">
        <v>320</v>
      </c>
      <c r="J8" s="13">
        <f>F8*I8</f>
        <v/>
      </c>
    </row>
    <row r="9" ht="21" customHeight="1">
      <c r="A9" s="14" t="n">
        <v>5</v>
      </c>
      <c r="B9" s="15" t="inlineStr">
        <is>
          <t>Peltier &amp; Heatsinks</t>
        </is>
      </c>
      <c r="C9" s="16" t="inlineStr">
        <is>
          <t>High-Current Peltier Driver</t>
        </is>
      </c>
      <c r="D9" s="15" t="inlineStr">
        <is>
          <t>Infineon BTS7960 43A H-Bridge Module (IBT-2)</t>
        </is>
      </c>
      <c r="E9" s="17" t="inlineStr">
        <is>
          <t>U5</t>
        </is>
      </c>
      <c r="F9" s="17" t="n">
        <v>1</v>
      </c>
      <c r="G9" s="17" t="inlineStr">
        <is>
          <t>Local</t>
        </is>
      </c>
      <c r="H9" s="15" t="inlineStr">
        <is>
          <t>Robu.in / Local Market (2 days)</t>
        </is>
      </c>
      <c r="I9" s="18" t="n">
        <v>240</v>
      </c>
      <c r="J9" s="19">
        <f>F9*I9</f>
        <v/>
      </c>
    </row>
    <row r="10" ht="21" customHeight="1">
      <c r="A10" s="8" t="n">
        <v>6</v>
      </c>
      <c r="B10" s="9" t="inlineStr">
        <is>
          <t>Peltier &amp; Heatsinks</t>
        </is>
      </c>
      <c r="C10" s="10" t="inlineStr">
        <is>
          <t>Thermoelectric Cooler (Peltier)</t>
        </is>
      </c>
      <c r="D10" s="9" t="inlineStr">
        <is>
          <t>TEC1-12706 (12V, 6A, Qmax 60W, 40×40×3.8 mm)</t>
        </is>
      </c>
      <c r="E10" s="11" t="inlineStr">
        <is>
          <t>TEC1</t>
        </is>
      </c>
      <c r="F10" s="11" t="n">
        <v>1</v>
      </c>
      <c r="G10" s="11" t="inlineStr">
        <is>
          <t>Local</t>
        </is>
      </c>
      <c r="H10" s="9" t="inlineStr">
        <is>
          <t>Robu.in / Local Market (2 days)</t>
        </is>
      </c>
      <c r="I10" s="12" t="n">
        <v>190</v>
      </c>
      <c r="J10" s="13">
        <f>F10*I10</f>
        <v/>
      </c>
    </row>
    <row r="11" ht="21" customHeight="1">
      <c r="A11" s="14" t="n">
        <v>7</v>
      </c>
      <c r="B11" s="15" t="inlineStr">
        <is>
          <t>Power &amp; Solar</t>
        </is>
      </c>
      <c r="C11" s="16" t="inlineStr">
        <is>
          <t>Solar MPPT Charge Controller</t>
        </is>
      </c>
      <c r="D11" s="15" t="inlineStr">
        <is>
          <t>CN3791 MPPT Solar Charger Board (18V PV Input)</t>
        </is>
      </c>
      <c r="E11" s="17" t="inlineStr">
        <is>
          <t>U_MPPT</t>
        </is>
      </c>
      <c r="F11" s="17" t="n">
        <v>1</v>
      </c>
      <c r="G11" s="17" t="inlineStr">
        <is>
          <t>Domestic</t>
        </is>
      </c>
      <c r="H11" s="15" t="inlineStr">
        <is>
          <t>Robu.in /RareComponents (3 days)</t>
        </is>
      </c>
      <c r="I11" s="18" t="n">
        <v>380</v>
      </c>
      <c r="J11" s="19">
        <f>F11*I11</f>
        <v/>
      </c>
    </row>
    <row r="12" ht="21" customHeight="1">
      <c r="A12" s="8" t="n">
        <v>8</v>
      </c>
      <c r="B12" s="9" t="inlineStr">
        <is>
          <t>Power &amp; Solar</t>
        </is>
      </c>
      <c r="C12" s="10" t="inlineStr">
        <is>
          <t>5.0V Logic Buck Converter</t>
        </is>
      </c>
      <c r="D12" s="9" t="inlineStr">
        <is>
          <t>LM2596S-5.0 DC-DC Step-Down Module (12.8V -&gt; 5.0V, 3A)</t>
        </is>
      </c>
      <c r="E12" s="11" t="inlineStr">
        <is>
          <t>U1/U2</t>
        </is>
      </c>
      <c r="F12" s="11" t="n">
        <v>1</v>
      </c>
      <c r="G12" s="11" t="inlineStr">
        <is>
          <t>Local</t>
        </is>
      </c>
      <c r="H12" s="9" t="inlineStr">
        <is>
          <t>Local Electronics Market (1 day)</t>
        </is>
      </c>
      <c r="I12" s="12" t="n">
        <v>85</v>
      </c>
      <c r="J12" s="13">
        <f>F12*I12</f>
        <v/>
      </c>
    </row>
    <row r="13" ht="21" customHeight="1">
      <c r="A13" s="14" t="n">
        <v>9</v>
      </c>
      <c r="B13" s="15" t="inlineStr">
        <is>
          <t>Power &amp; Solar</t>
        </is>
      </c>
      <c r="C13" s="16" t="inlineStr">
        <is>
          <t>12V -&gt; 4.0V Modem Buck Converter</t>
        </is>
      </c>
      <c r="D13" s="15" t="inlineStr">
        <is>
          <t>MP1584EN 3A Adjustable DC-DC Buck (12.8V -&gt; 4.0V Peak)</t>
        </is>
      </c>
      <c r="E13" s="17" t="inlineStr">
        <is>
          <t>U6</t>
        </is>
      </c>
      <c r="F13" s="17" t="n">
        <v>1</v>
      </c>
      <c r="G13" s="17" t="inlineStr">
        <is>
          <t>Local</t>
        </is>
      </c>
      <c r="H13" s="15" t="inlineStr">
        <is>
          <t>Local Electronics Market (1 day)</t>
        </is>
      </c>
      <c r="I13" s="18" t="n">
        <v>75</v>
      </c>
      <c r="J13" s="19">
        <f>F13*I13</f>
        <v/>
      </c>
    </row>
    <row r="14" ht="21" customHeight="1">
      <c r="A14" s="8" t="n">
        <v>10</v>
      </c>
      <c r="B14" s="9" t="inlineStr">
        <is>
          <t>Power &amp; Solar</t>
        </is>
      </c>
      <c r="C14" s="10" t="inlineStr">
        <is>
          <t>LiFePO4 Battery Pack + 4S BMS</t>
        </is>
      </c>
      <c r="D14" s="9" t="inlineStr">
        <is>
          <t>4S 32700 LiFePO4 Pack (12.8V, 6Ah, 76.8Wh) + 4S 20A BMS</t>
        </is>
      </c>
      <c r="E14" s="11" t="inlineStr">
        <is>
          <t>BT1</t>
        </is>
      </c>
      <c r="F14" s="11" t="n">
        <v>1</v>
      </c>
      <c r="G14" s="11" t="inlineStr">
        <is>
          <t>Domestic</t>
        </is>
      </c>
      <c r="H14" s="9" t="inlineStr">
        <is>
          <t>Loom Solar / Robu.in (4 days)</t>
        </is>
      </c>
      <c r="I14" s="12" t="n">
        <v>2350</v>
      </c>
      <c r="J14" s="13">
        <f>F14*I14</f>
        <v/>
      </c>
    </row>
    <row r="15" ht="21" customHeight="1">
      <c r="A15" s="14" t="n">
        <v>11</v>
      </c>
      <c r="B15" s="15" t="inlineStr">
        <is>
          <t>Power &amp; Solar</t>
        </is>
      </c>
      <c r="C15" s="16" t="inlineStr">
        <is>
          <t>30W Flexible Solar PV Panel</t>
        </is>
      </c>
      <c r="D15" s="15" t="inlineStr">
        <is>
          <t>30W 18V Semi-Flexible Monocrystalline ETFE Solar Panel</t>
        </is>
      </c>
      <c r="E15" s="17" t="inlineStr">
        <is>
          <t>PV1</t>
        </is>
      </c>
      <c r="F15" s="17" t="n">
        <v>1</v>
      </c>
      <c r="G15" s="17" t="inlineStr">
        <is>
          <t>Domestic</t>
        </is>
      </c>
      <c r="H15" s="15" t="inlineStr">
        <is>
          <t>Loom Solar / Indiamart (4 days)</t>
        </is>
      </c>
      <c r="I15" s="18" t="n">
        <v>1650</v>
      </c>
      <c r="J15" s="19">
        <f>F15*I15</f>
        <v/>
      </c>
    </row>
    <row r="16" ht="21" customHeight="1">
      <c r="A16" s="8" t="n">
        <v>12</v>
      </c>
      <c r="B16" s="9" t="inlineStr">
        <is>
          <t>E-Skin, PCB &amp; Passives</t>
        </is>
      </c>
      <c r="C16" s="10" t="inlineStr">
        <is>
          <t>0.1% Precision Σ-Δ Resistors</t>
        </is>
      </c>
      <c r="D16" s="9" t="inlineStr">
        <is>
          <t>100 kΩ ±0.1% 25ppm/°C Thin-Film SMD 0805 Resistor</t>
        </is>
      </c>
      <c r="E16" s="11" t="inlineStr">
        <is>
          <t>R_FB, R_REF</t>
        </is>
      </c>
      <c r="F16" s="11" t="n">
        <v>10</v>
      </c>
      <c r="G16" s="11" t="inlineStr">
        <is>
          <t>Domestic</t>
        </is>
      </c>
      <c r="H16" s="9" t="inlineStr">
        <is>
          <t>Element14 India / Mouser (3 days)</t>
        </is>
      </c>
      <c r="I16" s="12" t="n">
        <v>12</v>
      </c>
      <c r="J16" s="13">
        <f>F16*I16</f>
        <v/>
      </c>
    </row>
    <row r="17" ht="21" customHeight="1">
      <c r="A17" s="14" t="n">
        <v>13</v>
      </c>
      <c r="B17" s="15" t="inlineStr">
        <is>
          <t>E-Skin, PCB &amp; Passives</t>
        </is>
      </c>
      <c r="C17" s="16" t="inlineStr">
        <is>
          <t>10k NTC Thermistor Probes</t>
        </is>
      </c>
      <c r="D17" s="15" t="inlineStr">
        <is>
          <t>10 kΩ ±1% (B=3950K) Stainless Probe (Crate Core &amp; Hot Sink)</t>
        </is>
      </c>
      <c r="E17" s="17" t="inlineStr">
        <is>
          <t>TH_INT, TH_HOT</t>
        </is>
      </c>
      <c r="F17" s="17" t="n">
        <v>2</v>
      </c>
      <c r="G17" s="17" t="inlineStr">
        <is>
          <t>Local</t>
        </is>
      </c>
      <c r="H17" s="15" t="inlineStr">
        <is>
          <t>Robu.in / Local Market (1 day)</t>
        </is>
      </c>
      <c r="I17" s="18" t="n">
        <v>45</v>
      </c>
      <c r="J17" s="19">
        <f>F17*I17</f>
        <v/>
      </c>
    </row>
    <row r="18" ht="21" customHeight="1">
      <c r="A18" s="8" t="n">
        <v>14</v>
      </c>
      <c r="B18" s="9" t="inlineStr">
        <is>
          <t>E-Skin, PCB &amp; Passives</t>
        </is>
      </c>
      <c r="C18" s="10" t="inlineStr">
        <is>
          <t>Σ-Δ Integrator Capacitor</t>
        </is>
      </c>
      <c r="D18" s="9" t="inlineStr">
        <is>
          <t>10 nF 50V ±1% C0G/NP0 Ultra-Low-Drift Capacitor 0805</t>
        </is>
      </c>
      <c r="E18" s="11" t="inlineStr">
        <is>
          <t>C_INT</t>
        </is>
      </c>
      <c r="F18" s="11" t="n">
        <v>5</v>
      </c>
      <c r="G18" s="11" t="inlineStr">
        <is>
          <t>Local</t>
        </is>
      </c>
      <c r="H18" s="9" t="inlineStr">
        <is>
          <t>Element14 / Local Market (1 day)</t>
        </is>
      </c>
      <c r="I18" s="12" t="n">
        <v>8</v>
      </c>
      <c r="J18" s="13">
        <f>F18*I18</f>
        <v/>
      </c>
    </row>
    <row r="19" ht="21" customHeight="1">
      <c r="A19" s="14" t="n">
        <v>15</v>
      </c>
      <c r="B19" s="15" t="inlineStr">
        <is>
          <t>E-Skin, PCB &amp; Passives</t>
        </is>
      </c>
      <c r="C19" s="16" t="inlineStr">
        <is>
          <t>Bridge &amp; Fan Switching MOSFETs</t>
        </is>
      </c>
      <c r="D19" s="15" t="inlineStr">
        <is>
          <t>2N7002 SOT-23 NMOS (20ms Bridge) + IRLZ44N (12V Fan)</t>
        </is>
      </c>
      <c r="E19" s="17" t="inlineStr">
        <is>
          <t>Q1, Q2</t>
        </is>
      </c>
      <c r="F19" s="17" t="n">
        <v>5</v>
      </c>
      <c r="G19" s="17" t="inlineStr">
        <is>
          <t>Local</t>
        </is>
      </c>
      <c r="H19" s="15" t="inlineStr">
        <is>
          <t>Local Electronics Market (1 day)</t>
        </is>
      </c>
      <c r="I19" s="18" t="n">
        <v>13</v>
      </c>
      <c r="J19" s="19">
        <f>F19*I19</f>
        <v/>
      </c>
    </row>
    <row r="20" ht="21" customHeight="1">
      <c r="A20" s="8" t="n">
        <v>16</v>
      </c>
      <c r="B20" s="9" t="inlineStr">
        <is>
          <t>Power &amp; Solar</t>
        </is>
      </c>
      <c r="C20" s="10" t="inlineStr">
        <is>
          <t>Primary Overcurrent Fuse</t>
        </is>
      </c>
      <c r="D20" s="9" t="inlineStr">
        <is>
          <t>10A Automotive Blade Fuse + Waterproof Inline Holder</t>
        </is>
      </c>
      <c r="E20" s="11" t="inlineStr">
        <is>
          <t>F1</t>
        </is>
      </c>
      <c r="F20" s="11" t="n">
        <v>1</v>
      </c>
      <c r="G20" s="11" t="inlineStr">
        <is>
          <t>Local</t>
        </is>
      </c>
      <c r="H20" s="9" t="inlineStr">
        <is>
          <t>Local Auto/Electronics Market (1 day)</t>
        </is>
      </c>
      <c r="I20" s="12" t="n">
        <v>45</v>
      </c>
      <c r="J20" s="13">
        <f>F20*I20</f>
        <v/>
      </c>
    </row>
    <row r="21" ht="21" customHeight="1">
      <c r="A21" s="14" t="n">
        <v>17</v>
      </c>
      <c r="B21" s="15" t="inlineStr">
        <is>
          <t>Crate &amp; PCM Thermal Liner</t>
        </is>
      </c>
      <c r="C21" s="16" t="inlineStr">
        <is>
          <t>EPS/VIP Insulated Crate Body</t>
        </is>
      </c>
      <c r="D21" s="15" t="inlineStr">
        <is>
          <t>400×300×280 mm Food-Grade HDPE Crate + 25 mm EPS/VIP Liner</t>
        </is>
      </c>
      <c r="E21" s="17" t="inlineStr">
        <is>
          <t>MECH-1</t>
        </is>
      </c>
      <c r="F21" s="17" t="n">
        <v>1</v>
      </c>
      <c r="G21" s="17" t="inlineStr">
        <is>
          <t>Domestic</t>
        </is>
      </c>
      <c r="H21" s="15" t="inlineStr">
        <is>
          <t>Nilkamal / Indiamart Cold-Chain (5 days)</t>
        </is>
      </c>
      <c r="I21" s="18" t="n">
        <v>1450</v>
      </c>
      <c r="J21" s="19">
        <f>F21*I21</f>
        <v/>
      </c>
    </row>
    <row r="22" ht="21" customHeight="1">
      <c r="A22" s="8" t="n">
        <v>18</v>
      </c>
      <c r="B22" s="9" t="inlineStr">
        <is>
          <t>Crate &amp; PCM Thermal Liner</t>
        </is>
      </c>
      <c r="C22" s="10" t="inlineStr">
        <is>
          <t>4.5°C Phase Change Material Packs</t>
        </is>
      </c>
      <c r="D22" s="9" t="inlineStr">
        <is>
          <t>0.45 kg HDPE-Encapsulated 4.5°C Organic Paraffin PCM Pack</t>
        </is>
      </c>
      <c r="E22" s="11" t="inlineStr">
        <is>
          <t>PCM 1..4</t>
        </is>
      </c>
      <c r="F22" s="11" t="n">
        <v>4</v>
      </c>
      <c r="G22" s="11" t="inlineStr">
        <is>
          <t>Domestic</t>
        </is>
      </c>
      <c r="H22" s="9" t="inlineStr">
        <is>
          <t>Pluss Advanced Tech / Indiamart (5 days)</t>
        </is>
      </c>
      <c r="I22" s="12" t="n">
        <v>287.5</v>
      </c>
      <c r="J22" s="13">
        <f>F22*I22</f>
        <v/>
      </c>
    </row>
    <row r="23" ht="21" customHeight="1">
      <c r="A23" s="14" t="n">
        <v>19</v>
      </c>
      <c r="B23" s="15" t="inlineStr">
        <is>
          <t>Peltier &amp; Heatsinks</t>
        </is>
      </c>
      <c r="C23" s="16" t="inlineStr">
        <is>
          <t>Dual 6061 Heatsinks + 12V Fan</t>
        </is>
      </c>
      <c r="D23" s="15" t="inlineStr">
        <is>
          <t>Extruded Al 6061-T6 Cold/Hot Fin Blocks + 12V IP55 Brushless Fan</t>
        </is>
      </c>
      <c r="E23" s="17" t="inlineStr">
        <is>
          <t>HS_C, HS_H, M_FAN</t>
        </is>
      </c>
      <c r="F23" s="17" t="n">
        <v>1</v>
      </c>
      <c r="G23" s="17" t="inlineStr">
        <is>
          <t>Local</t>
        </is>
      </c>
      <c r="H23" s="15" t="inlineStr">
        <is>
          <t>Local Market / Robu.in (2 days)</t>
        </is>
      </c>
      <c r="I23" s="18" t="n">
        <v>620</v>
      </c>
      <c r="J23" s="19">
        <f>F23*I23</f>
        <v/>
      </c>
    </row>
    <row r="24" ht="21" customHeight="1">
      <c r="A24" s="8" t="n">
        <v>20</v>
      </c>
      <c r="B24" s="9" t="inlineStr">
        <is>
          <t>E-Skin, PCB &amp; Passives</t>
        </is>
      </c>
      <c r="C24" s="10" t="inlineStr">
        <is>
          <t>Graphite E-Skin Tape + 2L FR4 PCB</t>
        </is>
      </c>
      <c r="D24" s="9" t="inlineStr">
        <is>
          <t>Conductive Graphite Tape + Cu Foil Bus + 2-Layer PCB (LionCircuits)</t>
        </is>
      </c>
      <c r="E24" s="11" t="inlineStr">
        <is>
          <t>R_ACT, R_DUM, PCB1</t>
        </is>
      </c>
      <c r="F24" s="11" t="n">
        <v>1</v>
      </c>
      <c r="G24" s="11" t="inlineStr">
        <is>
          <t>Domestic</t>
        </is>
      </c>
      <c r="H24" s="9" t="inlineStr">
        <is>
          <t>LionCircuits / Amazon Business (5 days)</t>
        </is>
      </c>
      <c r="I24" s="12" t="n">
        <v>850</v>
      </c>
      <c r="J24" s="13">
        <f>F24*I24</f>
        <v/>
      </c>
    </row>
    <row r="25" ht="25" customHeight="1">
      <c r="A25" s="20" t="inlineStr">
        <is>
          <t>TOTAL PROTOTYPE BUILD EXPENSE (ALL 20 SCHEMATIC SUBSYSTEMS)</t>
        </is>
      </c>
      <c r="B25" s="20" t="n"/>
      <c r="C25" s="20" t="n"/>
      <c r="D25" s="20" t="n"/>
      <c r="E25" s="20" t="n"/>
      <c r="F25" s="21">
        <f>SUM(F5:F24)</f>
        <v/>
      </c>
      <c r="G25" s="21" t="inlineStr">
        <is>
          <t>95% Domestic / 5% Imported</t>
        </is>
      </c>
      <c r="H25" s="20" t="inlineStr">
        <is>
          <t>Max Project Lead Time: 5–10 Business Days</t>
        </is>
      </c>
      <c r="I25" s="20" t="inlineStr"/>
      <c r="J25" s="22">
        <f>SUM(J5:J24)</f>
        <v/>
      </c>
    </row>
  </sheetData>
  <mergeCells count="3">
    <mergeCell ref="A1:J1"/>
    <mergeCell ref="A25:E25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</cols>
  <sheetData>
    <row r="1">
      <c r="A1" s="23" t="inlineStr">
        <is>
          <t>Subsystem Category</t>
        </is>
      </c>
      <c r="B1" s="23" t="inlineStr">
        <is>
          <t>Total Cost (INR)</t>
        </is>
      </c>
      <c r="C1" s="23" t="inlineStr">
        <is>
          <t>Cost Share (%)</t>
        </is>
      </c>
    </row>
    <row r="2">
      <c r="A2" s="24" t="inlineStr">
        <is>
          <t>Power &amp; Solar</t>
        </is>
      </c>
      <c r="B2" s="25">
        <f>SUMIF(Itemized_BOM!$B$5:$B$24, A2, Itemized_BOM!$J$5:$J$24)</f>
        <v/>
      </c>
      <c r="C2" s="26">
        <f>B2/$B$7</f>
        <v/>
      </c>
    </row>
    <row r="3">
      <c r="A3" s="24" t="inlineStr">
        <is>
          <t>Telemetry &amp; FPGA Compute</t>
        </is>
      </c>
      <c r="B3" s="25">
        <f>SUMIF(Itemized_BOM!$B$5:$B$24, A3, Itemized_BOM!$J$5:$J$24)</f>
        <v/>
      </c>
      <c r="C3" s="26">
        <f>B3/$B$7</f>
        <v/>
      </c>
    </row>
    <row r="4">
      <c r="A4" s="24" t="inlineStr">
        <is>
          <t>Crate &amp; PCM Thermal Liner</t>
        </is>
      </c>
      <c r="B4" s="25">
        <f>SUMIF(Itemized_BOM!$B$5:$B$24, A4, Itemized_BOM!$J$5:$J$24)</f>
        <v/>
      </c>
      <c r="C4" s="26">
        <f>B4/$B$7</f>
        <v/>
      </c>
    </row>
    <row r="5">
      <c r="A5" s="24" t="inlineStr">
        <is>
          <t>E-Skin, PCB &amp; Passives</t>
        </is>
      </c>
      <c r="B5" s="25">
        <f>SUMIF(Itemized_BOM!$B$5:$B$24, A5, Itemized_BOM!$J$5:$J$24)</f>
        <v/>
      </c>
      <c r="C5" s="26">
        <f>B5/$B$7</f>
        <v/>
      </c>
    </row>
    <row r="6">
      <c r="A6" s="24" t="inlineStr">
        <is>
          <t>Peltier &amp; Heatsinks</t>
        </is>
      </c>
      <c r="B6" s="25">
        <f>SUMIF(Itemized_BOM!$B$5:$B$24, A6, Itemized_BOM!$J$5:$J$24)</f>
        <v/>
      </c>
      <c r="C6" s="26">
        <f>B6/$B$7</f>
        <v/>
      </c>
    </row>
    <row r="7">
      <c r="A7" s="20" t="inlineStr">
        <is>
          <t>TOTAL</t>
        </is>
      </c>
      <c r="B7" s="27">
        <f>SUM(B2:B6)</f>
        <v/>
      </c>
      <c r="C7" s="28">
        <f>SUM(C2:C6)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2026-10-20T12:35:02Z</dcterms:created>
  <dcterms:modified xsi:type="dcterms:W3CDTF">2026-10-20T12:35:02Z</dcterms:modified>
</cp:coreProperties>
</file>